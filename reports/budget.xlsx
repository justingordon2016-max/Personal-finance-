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xed" sheetId="2" state="visible" r:id="rId4"/>
    <sheet name="Variable" sheetId="3" state="visible" r:id="rId5"/>
    <sheet name="Sav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<sst xmlns="http://schemas.openxmlformats.org/spreadsheetml/2006/main" count="233" uniqueCount="125">
  <si>
    <t xml:space="preserve">Budget — September 2026</t>
  </si>
  <si>
    <t xml:space="preserve">Blue cells are inputs. Everything else is a formula. Edit amounts on the Fixed, Variable and Savings tabs.</t>
  </si>
  <si>
    <t xml:space="preserve">Salary (net, monthly)</t>
  </si>
  <si>
    <t xml:space="preserve">Source: FNB statements 135-138, constant at R70,000</t>
  </si>
  <si>
    <t xml:space="preserve">Less: Fixed expenses</t>
  </si>
  <si>
    <t xml:space="preserve">LEFT AFTER FIXED</t>
  </si>
  <si>
    <t xml:space="preserve">Less: Variable expenses</t>
  </si>
  <si>
    <t xml:space="preserve">LEFT AFTER FIXED + VARIABLE</t>
  </si>
  <si>
    <t xml:space="preserve">Less: Savings instructions</t>
  </si>
  <si>
    <t xml:space="preserve">MONTHLY GAP</t>
  </si>
  <si>
    <t xml:space="preserve">How the three blocks are defined</t>
  </si>
  <si>
    <t xml:space="preserve">Fixed — a standing instruction at a rate you cannot change this month, shown at its most recent amount rather than an average.</t>
  </si>
  <si>
    <t xml:space="preserve">Variable — you choose when and how much, so these are 4-cycle averages. Prepaid electricity and airtime sit here for that reason.</t>
  </si>
  <si>
    <t xml:space="preserve">Savings — standing instructions too, but money kept rather than spent, so they are kept in their own block.</t>
  </si>
  <si>
    <t xml:space="preserve">Open items</t>
  </si>
  <si>
    <t xml:space="preserve">Payments to a second credit account (R7,750/mo) are an average of five irregular and accelerating payments. No statement for that account exists yet.</t>
  </si>
  <si>
    <t xml:space="preserve">Ril Res001 (R850/mo) first appeared on 1 September and is assumed recurring.</t>
  </si>
  <si>
    <t xml:space="preserve">A R200,000 capital repayment on 9 September may cut the structured-loan instalment from 30 September. Watch that debit.</t>
  </si>
  <si>
    <t xml:space="preserve">EasyEquities TFSA at R3,006.22/mo is R74.64/yr over the R36,000 annual limit; excess contributions are taxed at 40%.</t>
  </si>
  <si>
    <t xml:space="preserve">Excluded: R26,060.66 of out-of-pocket medical in June — a one-off event, not a monthly cost.</t>
  </si>
  <si>
    <t xml:space="preserve">Source: FNB cheque statements 135-138 and card statements 130-132, all reconciled to the printed balances.</t>
  </si>
  <si>
    <t xml:space="preserve">Fixed</t>
  </si>
  <si>
    <t xml:space="preserve">Edit the blue amounts. Annual and the Summary tab recalculate. Amounts are per month.</t>
  </si>
  <si>
    <t xml:space="preserve">Item</t>
  </si>
  <si>
    <t xml:space="preserve">Frequency</t>
  </si>
  <si>
    <t xml:space="preserve">Clears</t>
  </si>
  <si>
    <t xml:space="preserve">Account</t>
  </si>
  <si>
    <t xml:space="preserve">Per month</t>
  </si>
  <si>
    <t xml:space="preserve">Per year</t>
  </si>
  <si>
    <t xml:space="preserve">% of salary</t>
  </si>
  <si>
    <t xml:space="preserve">Basis / note</t>
  </si>
  <si>
    <t xml:space="preserve">DEBT</t>
  </si>
  <si>
    <t xml:space="preserve">FNB Structured Loan</t>
  </si>
  <si>
    <t xml:space="preserve">Monthly</t>
  </si>
  <si>
    <t xml:space="preserve">31st</t>
  </si>
  <si>
    <t xml:space="preserve">Cheque</t>
  </si>
  <si>
    <t xml:space="preserve">RISING — Standing instruction at the September rate</t>
  </si>
  <si>
    <t xml:space="preserve">WesBank vehicle finance</t>
  </si>
  <si>
    <t xml:space="preserve">Standing instruction at the September rate</t>
  </si>
  <si>
    <t xml:space="preserve">iStore budget facility instalment</t>
  </si>
  <si>
    <t xml:space="preserve">Statement</t>
  </si>
  <si>
    <t xml:space="preserve">Card 4002</t>
  </si>
  <si>
    <t xml:space="preserve">11.50% p.a. - R9868.11 still outstanding</t>
  </si>
  <si>
    <t xml:space="preserve">FNB Home admin fee</t>
  </si>
  <si>
    <t xml:space="preserve">Standing instruction</t>
  </si>
  <si>
    <t xml:space="preserve">INSURANCE &amp; COVER</t>
  </si>
  <si>
    <t xml:space="preserve">Discovery premium</t>
  </si>
  <si>
    <t xml:space="preserve">1st</t>
  </si>
  <si>
    <t xml:space="preserve">Medical aid - claims refunded in May and June</t>
  </si>
  <si>
    <t xml:space="preserve">FNB Life (Fl105Gz98)</t>
  </si>
  <si>
    <t xml:space="preserve">25th</t>
  </si>
  <si>
    <t xml:space="preserve">Life and risk cover</t>
  </si>
  <si>
    <t xml:space="preserve">JAC insurance</t>
  </si>
  <si>
    <t xml:space="preserve">Life and risk cover - confirmed by you</t>
  </si>
  <si>
    <t xml:space="preserve">Netstar vehicle tracking</t>
  </si>
  <si>
    <t xml:space="preserve">Usually an insurer requirement</t>
  </si>
  <si>
    <t xml:space="preserve">FNB Life (Fl68Zw53)</t>
  </si>
  <si>
    <t xml:space="preserve">Second small policy</t>
  </si>
  <si>
    <t xml:space="preserve">SUBSCRIPTIONS</t>
  </si>
  <si>
    <t xml:space="preserve">Happy Hound</t>
  </si>
  <si>
    <t xml:space="preserve">Weekly</t>
  </si>
  <si>
    <t xml:space="preserve">Every week</t>
  </si>
  <si>
    <t xml:space="preserve">R1417.74 per week x 52/12 - on a dedicated card</t>
  </si>
  <si>
    <t xml:space="preserve">CONNECTIVITY</t>
  </si>
  <si>
    <t xml:space="preserve">RSAWEB fibre line 2</t>
  </si>
  <si>
    <t xml:space="preserve">DUPLICATE? — Second fibre line</t>
  </si>
  <si>
    <t xml:space="preserve">RSAWEB fibre line 1</t>
  </si>
  <si>
    <t xml:space="preserve">DUPLICATE? — First fibre line</t>
  </si>
  <si>
    <t xml:space="preserve">FNB Connect 8858332324</t>
  </si>
  <si>
    <t xml:space="preserve">FNB Connect 8872638615</t>
  </si>
  <si>
    <t xml:space="preserve">FNB Connect 8858332521</t>
  </si>
  <si>
    <t xml:space="preserve">Hybrid Connect top-up</t>
  </si>
  <si>
    <t xml:space="preserve">Stratum</t>
  </si>
  <si>
    <t xml:space="preserve">UNIDENTIFIED</t>
  </si>
  <si>
    <t xml:space="preserve">Ril Res001</t>
  </si>
  <si>
    <t xml:space="preserve">UNIDENTIFIED — First appeared 1 September - assumed recurring</t>
  </si>
  <si>
    <t xml:space="preserve">BANK CHARGES</t>
  </si>
  <si>
    <t xml:space="preserve">Monthly account service fee</t>
  </si>
  <si>
    <t xml:space="preserve">18th</t>
  </si>
  <si>
    <t xml:space="preserve">RISING — Rose from 625.00 in July</t>
  </si>
  <si>
    <t xml:space="preserve">Linked account service charges</t>
  </si>
  <si>
    <t xml:space="preserve">From account 62724872339</t>
  </si>
  <si>
    <t xml:space="preserve">HOME</t>
  </si>
  <si>
    <t xml:space="preserve">Edgekloof levy</t>
  </si>
  <si>
    <t xml:space="preserve">TOTAL FIXED</t>
  </si>
  <si>
    <t xml:space="preserve">Variable</t>
  </si>
  <si>
    <t xml:space="preserve">SECOND CREDIT ACCOUNT</t>
  </si>
  <si>
    <t xml:space="preserve">Payments to a second credit account</t>
  </si>
  <si>
    <t xml:space="preserve">Irregular</t>
  </si>
  <si>
    <t xml:space="preserve">Varies</t>
  </si>
  <si>
    <t xml:space="preserve">Unknown</t>
  </si>
  <si>
    <t xml:space="preserve">UNIDENTIFIED — 4-cycle average of 5 payments - accelerating</t>
  </si>
  <si>
    <t xml:space="preserve">FOOD</t>
  </si>
  <si>
    <t xml:space="preserve">Groceries and eating out</t>
  </si>
  <si>
    <t xml:space="preserve">-</t>
  </si>
  <si>
    <t xml:space="preserve">Both</t>
  </si>
  <si>
    <t xml:space="preserve">4-cycle average across both accounts</t>
  </si>
  <si>
    <t xml:space="preserve">FAMILY</t>
  </si>
  <si>
    <t xml:space="preserve">Family support</t>
  </si>
  <si>
    <t xml:space="preserve">4-cycle average - PayShap and app transfers</t>
  </si>
  <si>
    <t xml:space="preserve">SHOPPING</t>
  </si>
  <si>
    <t xml:space="preserve">Shopping and other retail</t>
  </si>
  <si>
    <t xml:space="preserve">4-cycle average - Takealot Yuppiechef pets</t>
  </si>
  <si>
    <t xml:space="preserve">TRAVEL</t>
  </si>
  <si>
    <t xml:space="preserve">Travel and leisure</t>
  </si>
  <si>
    <t xml:space="preserve">4-cycle average - one weekend away</t>
  </si>
  <si>
    <t xml:space="preserve">Prepaid electricity</t>
  </si>
  <si>
    <t xml:space="preserve">4-cycle average - you choose when and how much</t>
  </si>
  <si>
    <t xml:space="preserve">TRANSPORT</t>
  </si>
  <si>
    <t xml:space="preserve">Transport and fuel</t>
  </si>
  <si>
    <t xml:space="preserve">4-cycle average - one fuel purchase in four months</t>
  </si>
  <si>
    <t xml:space="preserve">Airtime top-ups</t>
  </si>
  <si>
    <t xml:space="preserve">4-cycle average</t>
  </si>
  <si>
    <t xml:space="preserve">Overdraft and card interest</t>
  </si>
  <si>
    <t xml:space="preserve">TOTAL VARIABLE</t>
  </si>
  <si>
    <t xml:space="preserve">Savings</t>
  </si>
  <si>
    <t xml:space="preserve">SAVINGS</t>
  </si>
  <si>
    <t xml:space="preserve">Scheduled transfer to savings</t>
  </si>
  <si>
    <t xml:space="preserve">27th</t>
  </si>
  <si>
    <t xml:space="preserve">The flexible one - clears before month-end</t>
  </si>
  <si>
    <t xml:space="preserve">EasyEquities TFSA</t>
  </si>
  <si>
    <t xml:space="preserve">CHECK — R74.64/yr over the R36000 annual limit</t>
  </si>
  <si>
    <t xml:space="preserve">FNB Invest</t>
  </si>
  <si>
    <t xml:space="preserve">17th</t>
  </si>
  <si>
    <t xml:space="preserve">TOTAL SAVINGS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</si>
</sst>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4EFED"/>
        <bgColor rgb="FFD5E5E2"/>
      </patternFill>
    </fill>
    <fill>
      <patternFill patternType="solid">
        <fgColor rgb="FFD5E5E2"/>
        <bgColor rgb="FFE4EFED"/>
      </patternFill>
    </fill>
    <fill>
      <patternFill patternType="solid">
        <fgColor rgb="FF0A6E62"/>
        <bgColor rgb="FF008080"/>
      </patternFill>
    </fill>
    <fill>
      <patternFill patternType="solid">
        <fgColor rgb="FFFBF0DA"/>
        <bgColor rgb="FFE4EF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2D0"/>
      </left>
      <right style="thin">
        <color rgb="FFC8D2D0"/>
      </right>
      <top style="thin">
        <color rgb="FFC8D2D0"/>
      </top>
      <bottom style="thin">
        <color rgb="FFC8D2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62"/>
      <rgbColor rgb="FFC8D2D0"/>
      <rgbColor rgb="FF808080"/>
      <rgbColor rgb="FF9999FF"/>
      <rgbColor rgb="FF993366"/>
      <rgbColor rgb="FFFBF0DA"/>
      <rgbColor rgb="FFE4EF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5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70000</v>
      </c>
      <c r="C4" s="2" t="s">
        <v>3</v>
      </c>
    </row>
    <row r="6" customFormat="false" ht="15" hidden="false" customHeight="false" outlineLevel="0" collapsed="false">
      <c r="A6" s="5" t="s">
        <v>4</v>
      </c>
      <c r="B6" s="6" t="n">
        <f aca="false">-Fixed!E34</f>
        <v>-58542.21</v>
      </c>
      <c r="C6" s="7" t="n">
        <f aca="false">B6/$B$4</f>
        <v>-0.836317285714286</v>
      </c>
    </row>
    <row r="7" customFormat="false" ht="15" hidden="false" customHeight="false" outlineLevel="0" collapsed="false">
      <c r="A7" s="8" t="s">
        <v>5</v>
      </c>
      <c r="B7" s="9" t="n">
        <f aca="false">B4+B6</f>
        <v>11457.79</v>
      </c>
      <c r="C7" s="10" t="n">
        <f aca="false">B7/$B$4</f>
        <v>0.163682714285714</v>
      </c>
    </row>
    <row r="8" customFormat="false" ht="15" hidden="false" customHeight="false" outlineLevel="0" collapsed="false">
      <c r="A8" s="5" t="s">
        <v>6</v>
      </c>
      <c r="B8" s="6" t="n">
        <f aca="false">-Variable!E23</f>
        <v>-16861.18</v>
      </c>
      <c r="C8" s="7" t="n">
        <f aca="false">B8/$B$4</f>
        <v>-0.240874</v>
      </c>
    </row>
    <row r="9" customFormat="false" ht="15" hidden="false" customHeight="false" outlineLevel="0" collapsed="false">
      <c r="A9" s="8" t="s">
        <v>7</v>
      </c>
      <c r="B9" s="9" t="n">
        <f aca="false">B7+B8</f>
        <v>-5403.39</v>
      </c>
      <c r="C9" s="10" t="n">
        <f aca="false">B9/$B$4</f>
        <v>-0.0771912857142857</v>
      </c>
    </row>
    <row r="10" customFormat="false" ht="15" hidden="false" customHeight="false" outlineLevel="0" collapsed="false">
      <c r="A10" s="5" t="s">
        <v>8</v>
      </c>
      <c r="B10" s="6" t="n">
        <f aca="false">-Savings!E9</f>
        <v>-14506.22</v>
      </c>
      <c r="C10" s="7" t="n">
        <f aca="false">B10/$B$4</f>
        <v>-0.207231714285714</v>
      </c>
    </row>
    <row r="11" customFormat="false" ht="15" hidden="false" customHeight="false" outlineLevel="0" collapsed="false">
      <c r="A11" s="11" t="s">
        <v>9</v>
      </c>
      <c r="B11" s="12" t="n">
        <f aca="false">B9+B10</f>
        <v>-19909.61</v>
      </c>
      <c r="C11" s="13" t="n">
        <f aca="false">B11/$B$4</f>
        <v>-0.284423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14" t="s">
        <v>23</v>
      </c>
      <c r="B4" s="14" t="s">
        <v>24</v>
      </c>
      <c r="C4" s="14" t="s">
        <v>25</v>
      </c>
      <c r="D4" s="14" t="s">
        <v>26</v>
      </c>
      <c r="E4" s="15" t="s">
        <v>27</v>
      </c>
      <c r="F4" s="15" t="s">
        <v>28</v>
      </c>
      <c r="G4" s="15" t="s">
        <v>29</v>
      </c>
      <c r="H4" s="15" t="s">
        <v>30</v>
      </c>
    </row>
    <row r="5" customFormat="false" ht="15" hidden="false" customHeight="false" outlineLevel="0" collapsed="false">
      <c r="A5" s="8" t="s">
        <v>31</v>
      </c>
      <c r="B5" s="8"/>
      <c r="C5" s="8"/>
      <c r="D5" s="8"/>
      <c r="E5" s="9" t="n">
        <f aca="false">SUM(E6:E9)</f>
        <v>28794.86</v>
      </c>
      <c r="F5" s="9" t="n">
        <f aca="false">E5*12</f>
        <v>345538.32</v>
      </c>
      <c r="G5" s="16" t="n">
        <f aca="false">E5/Summary!$B$4</f>
        <v>0.411355142857143</v>
      </c>
      <c r="H5" s="8"/>
    </row>
    <row r="6" customFormat="false" ht="15" hidden="false" customHeight="false" outlineLevel="0" collapsed="false">
      <c r="A6" s="17" t="s">
        <v>32</v>
      </c>
      <c r="B6" s="17" t="s">
        <v>33</v>
      </c>
      <c r="C6" s="17" t="s">
        <v>34</v>
      </c>
      <c r="D6" s="17" t="s">
        <v>35</v>
      </c>
      <c r="E6" s="18" t="n">
        <v>22202.79</v>
      </c>
      <c r="F6" s="19" t="n">
        <f aca="false">E6*12</f>
        <v>266433.48</v>
      </c>
      <c r="G6" s="20" t="n">
        <f aca="false">E6/Summary!$B$4</f>
        <v>0.317182714285714</v>
      </c>
      <c r="H6" s="21" t="s">
        <v>36</v>
      </c>
    </row>
    <row r="7" customFormat="false" ht="15" hidden="false" customHeight="false" outlineLevel="0" collapsed="false">
      <c r="A7" s="5" t="s">
        <v>37</v>
      </c>
      <c r="B7" s="5" t="s">
        <v>33</v>
      </c>
      <c r="C7" s="5" t="s">
        <v>34</v>
      </c>
      <c r="D7" s="5" t="s">
        <v>35</v>
      </c>
      <c r="E7" s="22" t="n">
        <v>5749.6</v>
      </c>
      <c r="F7" s="6" t="n">
        <f aca="false">E7*12</f>
        <v>68995.2</v>
      </c>
      <c r="G7" s="23" t="n">
        <f aca="false">E7/Summary!$B$4</f>
        <v>0.0821371428571429</v>
      </c>
      <c r="H7" s="24" t="s">
        <v>38</v>
      </c>
    </row>
    <row r="8" customFormat="false" ht="15" hidden="false" customHeight="false" outlineLevel="0" collapsed="false">
      <c r="A8" s="5" t="s">
        <v>39</v>
      </c>
      <c r="B8" s="5" t="s">
        <v>33</v>
      </c>
      <c r="C8" s="5" t="s">
        <v>40</v>
      </c>
      <c r="D8" s="5" t="s">
        <v>41</v>
      </c>
      <c r="E8" s="22" t="n">
        <v>773.47</v>
      </c>
      <c r="F8" s="6" t="n">
        <f aca="false">E8*12</f>
        <v>9281.64</v>
      </c>
      <c r="G8" s="23" t="n">
        <f aca="false">E8/Summary!$B$4</f>
        <v>0.0110495714285714</v>
      </c>
      <c r="H8" s="24" t="s">
        <v>42</v>
      </c>
    </row>
    <row r="9" customFormat="false" ht="15" hidden="false" customHeight="false" outlineLevel="0" collapsed="false">
      <c r="A9" s="5" t="s">
        <v>43</v>
      </c>
      <c r="B9" s="5" t="s">
        <v>33</v>
      </c>
      <c r="C9" s="5" t="s">
        <v>34</v>
      </c>
      <c r="D9" s="5" t="s">
        <v>35</v>
      </c>
      <c r="E9" s="22" t="n">
        <v>69</v>
      </c>
      <c r="F9" s="6" t="n">
        <f aca="false">E9*12</f>
        <v>828</v>
      </c>
      <c r="G9" s="23" t="n">
        <f aca="false">E9/Summary!$B$4</f>
        <v>0.000985714285714286</v>
      </c>
      <c r="H9" s="24" t="s">
        <v>44</v>
      </c>
    </row>
    <row r="10" customFormat="false" ht="15" hidden="false" customHeight="false" outlineLevel="0" collapsed="false">
      <c r="A10" s="8" t="s">
        <v>45</v>
      </c>
      <c r="B10" s="8"/>
      <c r="C10" s="8"/>
      <c r="D10" s="8"/>
      <c r="E10" s="9" t="n">
        <f aca="false">SUM(E11:E15)</f>
        <v>15785.84</v>
      </c>
      <c r="F10" s="9" t="n">
        <f aca="false">E10*12</f>
        <v>189430.08</v>
      </c>
      <c r="G10" s="16" t="n">
        <f aca="false">E10/Summary!$B$4</f>
        <v>0.225512</v>
      </c>
      <c r="H10" s="8"/>
    </row>
    <row r="11" customFormat="false" ht="15" hidden="false" customHeight="false" outlineLevel="0" collapsed="false">
      <c r="A11" s="5" t="s">
        <v>46</v>
      </c>
      <c r="B11" s="5" t="s">
        <v>33</v>
      </c>
      <c r="C11" s="5" t="s">
        <v>47</v>
      </c>
      <c r="D11" s="5" t="s">
        <v>35</v>
      </c>
      <c r="E11" s="22" t="n">
        <v>7578</v>
      </c>
      <c r="F11" s="6" t="n">
        <f aca="false">E11*12</f>
        <v>90936</v>
      </c>
      <c r="G11" s="23" t="n">
        <f aca="false">E11/Summary!$B$4</f>
        <v>0.108257142857143</v>
      </c>
      <c r="H11" s="24" t="s">
        <v>48</v>
      </c>
    </row>
    <row r="12" customFormat="false" ht="15" hidden="false" customHeight="false" outlineLevel="0" collapsed="false">
      <c r="A12" s="5" t="s">
        <v>49</v>
      </c>
      <c r="B12" s="5" t="s">
        <v>33</v>
      </c>
      <c r="C12" s="5" t="s">
        <v>50</v>
      </c>
      <c r="D12" s="5" t="s">
        <v>35</v>
      </c>
      <c r="E12" s="22" t="n">
        <v>4106.61</v>
      </c>
      <c r="F12" s="6" t="n">
        <f aca="false">E12*12</f>
        <v>49279.32</v>
      </c>
      <c r="G12" s="23" t="n">
        <f aca="false">E12/Summary!$B$4</f>
        <v>0.0586658571428571</v>
      </c>
      <c r="H12" s="24" t="s">
        <v>51</v>
      </c>
    </row>
    <row r="13" customFormat="false" ht="15" hidden="false" customHeight="false" outlineLevel="0" collapsed="false">
      <c r="A13" s="5" t="s">
        <v>52</v>
      </c>
      <c r="B13" s="5" t="s">
        <v>33</v>
      </c>
      <c r="C13" s="5" t="s">
        <v>47</v>
      </c>
      <c r="D13" s="5" t="s">
        <v>35</v>
      </c>
      <c r="E13" s="22" t="n">
        <v>3836.27</v>
      </c>
      <c r="F13" s="6" t="n">
        <f aca="false">E13*12</f>
        <v>46035.24</v>
      </c>
      <c r="G13" s="23" t="n">
        <f aca="false">E13/Summary!$B$4</f>
        <v>0.0548038571428571</v>
      </c>
      <c r="H13" s="24" t="s">
        <v>53</v>
      </c>
    </row>
    <row r="14" customFormat="false" ht="15" hidden="false" customHeight="false" outlineLevel="0" collapsed="false">
      <c r="A14" s="5" t="s">
        <v>54</v>
      </c>
      <c r="B14" s="5" t="s">
        <v>33</v>
      </c>
      <c r="C14" s="5" t="s">
        <v>47</v>
      </c>
      <c r="D14" s="5" t="s">
        <v>35</v>
      </c>
      <c r="E14" s="22" t="n">
        <v>231.38</v>
      </c>
      <c r="F14" s="6" t="n">
        <f aca="false">E14*12</f>
        <v>2776.56</v>
      </c>
      <c r="G14" s="23" t="n">
        <f aca="false">E14/Summary!$B$4</f>
        <v>0.00330542857142857</v>
      </c>
      <c r="H14" s="24" t="s">
        <v>55</v>
      </c>
    </row>
    <row r="15" customFormat="false" ht="15" hidden="false" customHeight="false" outlineLevel="0" collapsed="false">
      <c r="A15" s="5" t="s">
        <v>56</v>
      </c>
      <c r="B15" s="5" t="s">
        <v>33</v>
      </c>
      <c r="C15" s="5" t="s">
        <v>47</v>
      </c>
      <c r="D15" s="5" t="s">
        <v>35</v>
      </c>
      <c r="E15" s="22" t="n">
        <v>33.58</v>
      </c>
      <c r="F15" s="6" t="n">
        <f aca="false">E15*12</f>
        <v>402.96</v>
      </c>
      <c r="G15" s="23" t="n">
        <f aca="false">E15/Summary!$B$4</f>
        <v>0.000479714285714286</v>
      </c>
      <c r="H15" s="24" t="s">
        <v>57</v>
      </c>
    </row>
    <row r="16" customFormat="false" ht="15" hidden="false" customHeight="false" outlineLevel="0" collapsed="false">
      <c r="A16" s="8" t="s">
        <v>58</v>
      </c>
      <c r="B16" s="8"/>
      <c r="C16" s="8"/>
      <c r="D16" s="8"/>
      <c r="E16" s="9" t="n">
        <f aca="false">SUM(E17:E17)</f>
        <v>6143.54</v>
      </c>
      <c r="F16" s="9" t="n">
        <f aca="false">E16*12</f>
        <v>73722.48</v>
      </c>
      <c r="G16" s="16" t="n">
        <f aca="false">E16/Summary!$B$4</f>
        <v>0.0877648571428571</v>
      </c>
      <c r="H16" s="8"/>
    </row>
    <row r="17" customFormat="false" ht="15" hidden="false" customHeight="false" outlineLevel="0" collapsed="false">
      <c r="A17" s="5" t="s">
        <v>59</v>
      </c>
      <c r="B17" s="5" t="s">
        <v>60</v>
      </c>
      <c r="C17" s="5" t="s">
        <v>61</v>
      </c>
      <c r="D17" s="5" t="s">
        <v>41</v>
      </c>
      <c r="E17" s="22" t="n">
        <v>6143.54</v>
      </c>
      <c r="F17" s="6" t="n">
        <f aca="false">E17*12</f>
        <v>73722.48</v>
      </c>
      <c r="G17" s="23" t="n">
        <f aca="false">E17/Summary!$B$4</f>
        <v>0.0877648571428571</v>
      </c>
      <c r="H17" s="24" t="s">
        <v>62</v>
      </c>
    </row>
    <row r="18" customFormat="false" ht="15" hidden="false" customHeight="false" outlineLevel="0" collapsed="false">
      <c r="A18" s="8" t="s">
        <v>63</v>
      </c>
      <c r="B18" s="8"/>
      <c r="C18" s="8"/>
      <c r="D18" s="8"/>
      <c r="E18" s="9" t="n">
        <f aca="false">SUM(E19:E26)</f>
        <v>5804.01</v>
      </c>
      <c r="F18" s="9" t="n">
        <f aca="false">E18*12</f>
        <v>69648.12</v>
      </c>
      <c r="G18" s="16" t="n">
        <f aca="false">E18/Summary!$B$4</f>
        <v>0.0829144285714286</v>
      </c>
      <c r="H18" s="8"/>
    </row>
    <row r="19" customFormat="false" ht="15" hidden="false" customHeight="false" outlineLevel="0" collapsed="false">
      <c r="A19" s="17" t="s">
        <v>64</v>
      </c>
      <c r="B19" s="17" t="s">
        <v>33</v>
      </c>
      <c r="C19" s="17" t="s">
        <v>47</v>
      </c>
      <c r="D19" s="17" t="s">
        <v>35</v>
      </c>
      <c r="E19" s="18" t="n">
        <v>1728</v>
      </c>
      <c r="F19" s="19" t="n">
        <f aca="false">E19*12</f>
        <v>20736</v>
      </c>
      <c r="G19" s="20" t="n">
        <f aca="false">E19/Summary!$B$4</f>
        <v>0.0246857142857143</v>
      </c>
      <c r="H19" s="21" t="s">
        <v>65</v>
      </c>
    </row>
    <row r="20" customFormat="false" ht="15" hidden="false" customHeight="false" outlineLevel="0" collapsed="false">
      <c r="A20" s="17" t="s">
        <v>66</v>
      </c>
      <c r="B20" s="17" t="s">
        <v>33</v>
      </c>
      <c r="C20" s="17" t="s">
        <v>47</v>
      </c>
      <c r="D20" s="17" t="s">
        <v>35</v>
      </c>
      <c r="E20" s="18" t="n">
        <v>1299.01</v>
      </c>
      <c r="F20" s="19" t="n">
        <f aca="false">E20*12</f>
        <v>15588.12</v>
      </c>
      <c r="G20" s="20" t="n">
        <f aca="false">E20/Summary!$B$4</f>
        <v>0.0185572857142857</v>
      </c>
      <c r="H20" s="21" t="s">
        <v>67</v>
      </c>
    </row>
    <row r="21" customFormat="false" ht="15" hidden="false" customHeight="false" outlineLevel="0" collapsed="false">
      <c r="A21" s="5" t="s">
        <v>68</v>
      </c>
      <c r="B21" s="5" t="s">
        <v>33</v>
      </c>
      <c r="C21" s="5" t="s">
        <v>47</v>
      </c>
      <c r="D21" s="5" t="s">
        <v>35</v>
      </c>
      <c r="E21" s="22" t="n">
        <v>749</v>
      </c>
      <c r="F21" s="6" t="n">
        <f aca="false">E21*12</f>
        <v>8988</v>
      </c>
      <c r="G21" s="23" t="n">
        <f aca="false">E21/Summary!$B$4</f>
        <v>0.0107</v>
      </c>
      <c r="H21" s="24"/>
    </row>
    <row r="22" customFormat="false" ht="15" hidden="false" customHeight="false" outlineLevel="0" collapsed="false">
      <c r="A22" s="5" t="s">
        <v>69</v>
      </c>
      <c r="B22" s="5" t="s">
        <v>33</v>
      </c>
      <c r="C22" s="5" t="s">
        <v>50</v>
      </c>
      <c r="D22" s="5" t="s">
        <v>35</v>
      </c>
      <c r="E22" s="22" t="n">
        <v>579</v>
      </c>
      <c r="F22" s="6" t="n">
        <f aca="false">E22*12</f>
        <v>6948</v>
      </c>
      <c r="G22" s="23" t="n">
        <f aca="false">E22/Summary!$B$4</f>
        <v>0.00827142857142857</v>
      </c>
      <c r="H22" s="24"/>
    </row>
    <row r="23" customFormat="false" ht="15" hidden="false" customHeight="false" outlineLevel="0" collapsed="false">
      <c r="A23" s="5" t="s">
        <v>70</v>
      </c>
      <c r="B23" s="5" t="s">
        <v>33</v>
      </c>
      <c r="C23" s="5" t="s">
        <v>47</v>
      </c>
      <c r="D23" s="5" t="s">
        <v>35</v>
      </c>
      <c r="E23" s="22" t="n">
        <v>499</v>
      </c>
      <c r="F23" s="6" t="n">
        <f aca="false">E23*12</f>
        <v>5988</v>
      </c>
      <c r="G23" s="23" t="n">
        <f aca="false">E23/Summary!$B$4</f>
        <v>0.00712857142857143</v>
      </c>
      <c r="H23" s="24"/>
    </row>
    <row r="24" customFormat="false" ht="15" hidden="false" customHeight="false" outlineLevel="0" collapsed="false">
      <c r="A24" s="5" t="s">
        <v>71</v>
      </c>
      <c r="B24" s="5" t="s">
        <v>33</v>
      </c>
      <c r="C24" s="5" t="s">
        <v>47</v>
      </c>
      <c r="D24" s="5" t="s">
        <v>35</v>
      </c>
      <c r="E24" s="22" t="n">
        <v>415</v>
      </c>
      <c r="F24" s="6" t="n">
        <f aca="false">E24*12</f>
        <v>4980</v>
      </c>
      <c r="G24" s="23" t="n">
        <f aca="false">E24/Summary!$B$4</f>
        <v>0.00592857142857143</v>
      </c>
      <c r="H24" s="24"/>
    </row>
    <row r="25" customFormat="false" ht="15" hidden="false" customHeight="false" outlineLevel="0" collapsed="false">
      <c r="A25" s="5" t="s">
        <v>72</v>
      </c>
      <c r="B25" s="5" t="s">
        <v>33</v>
      </c>
      <c r="C25" s="5" t="s">
        <v>47</v>
      </c>
      <c r="D25" s="5" t="s">
        <v>35</v>
      </c>
      <c r="E25" s="22" t="n">
        <v>390</v>
      </c>
      <c r="F25" s="6" t="n">
        <f aca="false">E25*12</f>
        <v>4680</v>
      </c>
      <c r="G25" s="23" t="n">
        <f aca="false">E25/Summary!$B$4</f>
        <v>0.00557142857142857</v>
      </c>
      <c r="H25" s="24"/>
    </row>
    <row r="26" customFormat="false" ht="15" hidden="false" customHeight="false" outlineLevel="0" collapsed="false">
      <c r="A26" s="5" t="s">
        <v>71</v>
      </c>
      <c r="B26" s="5" t="s">
        <v>33</v>
      </c>
      <c r="C26" s="5" t="s">
        <v>47</v>
      </c>
      <c r="D26" s="5" t="s">
        <v>35</v>
      </c>
      <c r="E26" s="22" t="n">
        <v>145</v>
      </c>
      <c r="F26" s="6" t="n">
        <f aca="false">E26*12</f>
        <v>1740</v>
      </c>
      <c r="G26" s="23" t="n">
        <f aca="false">E26/Summary!$B$4</f>
        <v>0.00207142857142857</v>
      </c>
      <c r="H26" s="24"/>
    </row>
    <row r="27" customFormat="false" ht="15" hidden="false" customHeight="false" outlineLevel="0" collapsed="false">
      <c r="A27" s="8" t="s">
        <v>73</v>
      </c>
      <c r="B27" s="8"/>
      <c r="C27" s="8"/>
      <c r="D27" s="8"/>
      <c r="E27" s="9" t="n">
        <f aca="false">SUM(E28:E28)</f>
        <v>850</v>
      </c>
      <c r="F27" s="9" t="n">
        <f aca="false">E27*12</f>
        <v>10200</v>
      </c>
      <c r="G27" s="16" t="n">
        <f aca="false">E27/Summary!$B$4</f>
        <v>0.0121428571428571</v>
      </c>
      <c r="H27" s="8"/>
    </row>
    <row r="28" customFormat="false" ht="15" hidden="false" customHeight="false" outlineLevel="0" collapsed="false">
      <c r="A28" s="17" t="s">
        <v>74</v>
      </c>
      <c r="B28" s="17" t="s">
        <v>33</v>
      </c>
      <c r="C28" s="17" t="s">
        <v>47</v>
      </c>
      <c r="D28" s="17" t="s">
        <v>35</v>
      </c>
      <c r="E28" s="18" t="n">
        <v>850</v>
      </c>
      <c r="F28" s="19" t="n">
        <f aca="false">E28*12</f>
        <v>10200</v>
      </c>
      <c r="G28" s="20" t="n">
        <f aca="false">E28/Summary!$B$4</f>
        <v>0.0121428571428571</v>
      </c>
      <c r="H28" s="21" t="s">
        <v>75</v>
      </c>
    </row>
    <row r="29" customFormat="false" ht="15" hidden="false" customHeight="false" outlineLevel="0" collapsed="false">
      <c r="A29" s="8" t="s">
        <v>76</v>
      </c>
      <c r="B29" s="8"/>
      <c r="C29" s="8"/>
      <c r="D29" s="8"/>
      <c r="E29" s="9" t="n">
        <f aca="false">SUM(E30:E31)</f>
        <v>764.96</v>
      </c>
      <c r="F29" s="9" t="n">
        <f aca="false">E29*12</f>
        <v>9179.52</v>
      </c>
      <c r="G29" s="16" t="n">
        <f aca="false">E29/Summary!$B$4</f>
        <v>0.010928</v>
      </c>
      <c r="H29" s="8"/>
    </row>
    <row r="30" customFormat="false" ht="15" hidden="false" customHeight="false" outlineLevel="0" collapsed="false">
      <c r="A30" s="17" t="s">
        <v>77</v>
      </c>
      <c r="B30" s="17" t="s">
        <v>33</v>
      </c>
      <c r="C30" s="17" t="s">
        <v>78</v>
      </c>
      <c r="D30" s="17" t="s">
        <v>35</v>
      </c>
      <c r="E30" s="18" t="n">
        <v>661.46</v>
      </c>
      <c r="F30" s="19" t="n">
        <f aca="false">E30*12</f>
        <v>7937.52</v>
      </c>
      <c r="G30" s="20" t="n">
        <f aca="false">E30/Summary!$B$4</f>
        <v>0.00944942857142857</v>
      </c>
      <c r="H30" s="21" t="s">
        <v>79</v>
      </c>
    </row>
    <row r="31" customFormat="false" ht="15" hidden="false" customHeight="false" outlineLevel="0" collapsed="false">
      <c r="A31" s="5" t="s">
        <v>80</v>
      </c>
      <c r="B31" s="5" t="s">
        <v>33</v>
      </c>
      <c r="C31" s="5" t="s">
        <v>34</v>
      </c>
      <c r="D31" s="5" t="s">
        <v>35</v>
      </c>
      <c r="E31" s="22" t="n">
        <v>103.5</v>
      </c>
      <c r="F31" s="6" t="n">
        <f aca="false">E31*12</f>
        <v>1242</v>
      </c>
      <c r="G31" s="23" t="n">
        <f aca="false">E31/Summary!$B$4</f>
        <v>0.00147857142857143</v>
      </c>
      <c r="H31" s="24" t="s">
        <v>81</v>
      </c>
    </row>
    <row r="32" customFormat="false" ht="15" hidden="false" customHeight="false" outlineLevel="0" collapsed="false">
      <c r="A32" s="8" t="s">
        <v>82</v>
      </c>
      <c r="B32" s="8"/>
      <c r="C32" s="8"/>
      <c r="D32" s="8"/>
      <c r="E32" s="9" t="n">
        <f aca="false">SUM(E33:E33)</f>
        <v>399</v>
      </c>
      <c r="F32" s="9" t="n">
        <f aca="false">E32*12</f>
        <v>4788</v>
      </c>
      <c r="G32" s="16" t="n">
        <f aca="false">E32/Summary!$B$4</f>
        <v>0.0057</v>
      </c>
      <c r="H32" s="8"/>
    </row>
    <row r="33" customFormat="false" ht="15" hidden="false" customHeight="false" outlineLevel="0" collapsed="false">
      <c r="A33" s="5" t="s">
        <v>83</v>
      </c>
      <c r="B33" s="5" t="s">
        <v>33</v>
      </c>
      <c r="C33" s="5" t="s">
        <v>47</v>
      </c>
      <c r="D33" s="5" t="s">
        <v>35</v>
      </c>
      <c r="E33" s="22" t="n">
        <v>399</v>
      </c>
      <c r="F33" s="6" t="n">
        <f aca="false">E33*12</f>
        <v>4788</v>
      </c>
      <c r="G33" s="23" t="n">
        <f aca="false">E33/Summary!$B$4</f>
        <v>0.0057</v>
      </c>
      <c r="H33" s="24"/>
    </row>
    <row r="34" customFormat="false" ht="15" hidden="false" customHeight="false" outlineLevel="0" collapsed="false">
      <c r="A34" s="11" t="s">
        <v>84</v>
      </c>
      <c r="B34" s="25"/>
      <c r="C34" s="25"/>
      <c r="D34" s="25"/>
      <c r="E34" s="12" t="n">
        <f aca="false">E5+E10+E16+E18+E27+E29+E32</f>
        <v>58542.21</v>
      </c>
      <c r="F34" s="12" t="n">
        <f aca="false">E34*12</f>
        <v>702506.52</v>
      </c>
      <c r="G34" s="26" t="n">
        <f aca="false">E34/Summary!$B$4</f>
        <v>0.836317285714286</v>
      </c>
      <c r="H3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14" t="s">
        <v>23</v>
      </c>
      <c r="B4" s="14" t="s">
        <v>24</v>
      </c>
      <c r="C4" s="14" t="s">
        <v>25</v>
      </c>
      <c r="D4" s="14" t="s">
        <v>26</v>
      </c>
      <c r="E4" s="15" t="s">
        <v>27</v>
      </c>
      <c r="F4" s="15" t="s">
        <v>28</v>
      </c>
      <c r="G4" s="15" t="s">
        <v>29</v>
      </c>
      <c r="H4" s="15" t="s">
        <v>30</v>
      </c>
    </row>
    <row r="5" customFormat="false" ht="15" hidden="false" customHeight="false" outlineLevel="0" collapsed="false">
      <c r="A5" s="8" t="s">
        <v>86</v>
      </c>
      <c r="B5" s="8"/>
      <c r="C5" s="8"/>
      <c r="D5" s="8"/>
      <c r="E5" s="9" t="n">
        <f aca="false">SUM(E6:E6)</f>
        <v>7750</v>
      </c>
      <c r="F5" s="9" t="n">
        <f aca="false">E5*12</f>
        <v>93000</v>
      </c>
      <c r="G5" s="16" t="n">
        <f aca="false">E5/Summary!$B$4</f>
        <v>0.110714285714286</v>
      </c>
      <c r="H5" s="8"/>
    </row>
    <row r="6" customFormat="false" ht="15" hidden="false" customHeight="false" outlineLevel="0" collapsed="false">
      <c r="A6" s="17" t="s">
        <v>87</v>
      </c>
      <c r="B6" s="17" t="s">
        <v>88</v>
      </c>
      <c r="C6" s="17" t="s">
        <v>89</v>
      </c>
      <c r="D6" s="17" t="s">
        <v>90</v>
      </c>
      <c r="E6" s="18" t="n">
        <v>7750</v>
      </c>
      <c r="F6" s="19" t="n">
        <f aca="false">E6*12</f>
        <v>93000</v>
      </c>
      <c r="G6" s="20" t="n">
        <f aca="false">E6/Summary!$B$4</f>
        <v>0.110714285714286</v>
      </c>
      <c r="H6" s="21" t="s">
        <v>91</v>
      </c>
    </row>
    <row r="7" customFormat="false" ht="15" hidden="false" customHeight="false" outlineLevel="0" collapsed="false">
      <c r="A7" s="8" t="s">
        <v>92</v>
      </c>
      <c r="B7" s="8"/>
      <c r="C7" s="8"/>
      <c r="D7" s="8"/>
      <c r="E7" s="9" t="n">
        <f aca="false">SUM(E8:E8)</f>
        <v>3196.98</v>
      </c>
      <c r="F7" s="9" t="n">
        <f aca="false">E7*12</f>
        <v>38363.76</v>
      </c>
      <c r="G7" s="16" t="n">
        <f aca="false">E7/Summary!$B$4</f>
        <v>0.0456711428571429</v>
      </c>
      <c r="H7" s="8"/>
    </row>
    <row r="8" customFormat="false" ht="15" hidden="false" customHeight="false" outlineLevel="0" collapsed="false">
      <c r="A8" s="5" t="s">
        <v>93</v>
      </c>
      <c r="B8" s="5" t="s">
        <v>88</v>
      </c>
      <c r="C8" s="5" t="s">
        <v>94</v>
      </c>
      <c r="D8" s="5" t="s">
        <v>95</v>
      </c>
      <c r="E8" s="22" t="n">
        <v>3196.98</v>
      </c>
      <c r="F8" s="6" t="n">
        <f aca="false">E8*12</f>
        <v>38363.76</v>
      </c>
      <c r="G8" s="23" t="n">
        <f aca="false">E8/Summary!$B$4</f>
        <v>0.0456711428571429</v>
      </c>
      <c r="H8" s="24" t="s">
        <v>96</v>
      </c>
    </row>
    <row r="9" customFormat="false" ht="15" hidden="false" customHeight="false" outlineLevel="0" collapsed="false">
      <c r="A9" s="8" t="s">
        <v>97</v>
      </c>
      <c r="B9" s="8"/>
      <c r="C9" s="8"/>
      <c r="D9" s="8"/>
      <c r="E9" s="9" t="n">
        <f aca="false">SUM(E10:E10)</f>
        <v>2662.65</v>
      </c>
      <c r="F9" s="9" t="n">
        <f aca="false">E9*12</f>
        <v>31951.8</v>
      </c>
      <c r="G9" s="16" t="n">
        <f aca="false">E9/Summary!$B$4</f>
        <v>0.0380378571428571</v>
      </c>
      <c r="H9" s="8"/>
    </row>
    <row r="10" customFormat="false" ht="15" hidden="false" customHeight="false" outlineLevel="0" collapsed="false">
      <c r="A10" s="5" t="s">
        <v>98</v>
      </c>
      <c r="B10" s="5" t="s">
        <v>88</v>
      </c>
      <c r="C10" s="5" t="s">
        <v>94</v>
      </c>
      <c r="D10" s="5" t="s">
        <v>35</v>
      </c>
      <c r="E10" s="22" t="n">
        <v>2662.65</v>
      </c>
      <c r="F10" s="6" t="n">
        <f aca="false">E10*12</f>
        <v>31951.8</v>
      </c>
      <c r="G10" s="23" t="n">
        <f aca="false">E10/Summary!$B$4</f>
        <v>0.0380378571428571</v>
      </c>
      <c r="H10" s="24" t="s">
        <v>99</v>
      </c>
    </row>
    <row r="11" customFormat="false" ht="15" hidden="false" customHeight="false" outlineLevel="0" collapsed="false">
      <c r="A11" s="8" t="s">
        <v>100</v>
      </c>
      <c r="B11" s="8"/>
      <c r="C11" s="8"/>
      <c r="D11" s="8"/>
      <c r="E11" s="9" t="n">
        <f aca="false">SUM(E12:E12)</f>
        <v>1196.61</v>
      </c>
      <c r="F11" s="9" t="n">
        <f aca="false">E11*12</f>
        <v>14359.32</v>
      </c>
      <c r="G11" s="16" t="n">
        <f aca="false">E11/Summary!$B$4</f>
        <v>0.0170944285714286</v>
      </c>
      <c r="H11" s="8"/>
    </row>
    <row r="12" customFormat="false" ht="15" hidden="false" customHeight="false" outlineLevel="0" collapsed="false">
      <c r="A12" s="5" t="s">
        <v>101</v>
      </c>
      <c r="B12" s="5" t="s">
        <v>88</v>
      </c>
      <c r="C12" s="5" t="s">
        <v>94</v>
      </c>
      <c r="D12" s="5" t="s">
        <v>95</v>
      </c>
      <c r="E12" s="22" t="n">
        <v>1196.61</v>
      </c>
      <c r="F12" s="6" t="n">
        <f aca="false">E12*12</f>
        <v>14359.32</v>
      </c>
      <c r="G12" s="23" t="n">
        <f aca="false">E12/Summary!$B$4</f>
        <v>0.0170944285714286</v>
      </c>
      <c r="H12" s="24" t="s">
        <v>102</v>
      </c>
    </row>
    <row r="13" customFormat="false" ht="15" hidden="false" customHeight="false" outlineLevel="0" collapsed="false">
      <c r="A13" s="8" t="s">
        <v>103</v>
      </c>
      <c r="B13" s="8"/>
      <c r="C13" s="8"/>
      <c r="D13" s="8"/>
      <c r="E13" s="9" t="n">
        <f aca="false">SUM(E14:E14)</f>
        <v>777.7</v>
      </c>
      <c r="F13" s="9" t="n">
        <f aca="false">E13*12</f>
        <v>9332.4</v>
      </c>
      <c r="G13" s="16" t="n">
        <f aca="false">E13/Summary!$B$4</f>
        <v>0.01111</v>
      </c>
      <c r="H13" s="8"/>
    </row>
    <row r="14" customFormat="false" ht="15" hidden="false" customHeight="false" outlineLevel="0" collapsed="false">
      <c r="A14" s="5" t="s">
        <v>104</v>
      </c>
      <c r="B14" s="5" t="s">
        <v>88</v>
      </c>
      <c r="C14" s="5" t="s">
        <v>94</v>
      </c>
      <c r="D14" s="5" t="s">
        <v>95</v>
      </c>
      <c r="E14" s="22" t="n">
        <v>777.7</v>
      </c>
      <c r="F14" s="6" t="n">
        <f aca="false">E14*12</f>
        <v>9332.4</v>
      </c>
      <c r="G14" s="23" t="n">
        <f aca="false">E14/Summary!$B$4</f>
        <v>0.01111</v>
      </c>
      <c r="H14" s="24" t="s">
        <v>105</v>
      </c>
    </row>
    <row r="15" customFormat="false" ht="15" hidden="false" customHeight="false" outlineLevel="0" collapsed="false">
      <c r="A15" s="8" t="s">
        <v>82</v>
      </c>
      <c r="B15" s="8"/>
      <c r="C15" s="8"/>
      <c r="D15" s="8"/>
      <c r="E15" s="9" t="n">
        <f aca="false">SUM(E16:E16)</f>
        <v>625</v>
      </c>
      <c r="F15" s="9" t="n">
        <f aca="false">E15*12</f>
        <v>7500</v>
      </c>
      <c r="G15" s="16" t="n">
        <f aca="false">E15/Summary!$B$4</f>
        <v>0.00892857142857143</v>
      </c>
      <c r="H15" s="8"/>
    </row>
    <row r="16" customFormat="false" ht="15" hidden="false" customHeight="false" outlineLevel="0" collapsed="false">
      <c r="A16" s="5" t="s">
        <v>106</v>
      </c>
      <c r="B16" s="5" t="s">
        <v>88</v>
      </c>
      <c r="C16" s="5" t="s">
        <v>94</v>
      </c>
      <c r="D16" s="5" t="s">
        <v>35</v>
      </c>
      <c r="E16" s="22" t="n">
        <v>625</v>
      </c>
      <c r="F16" s="6" t="n">
        <f aca="false">E16*12</f>
        <v>7500</v>
      </c>
      <c r="G16" s="23" t="n">
        <f aca="false">E16/Summary!$B$4</f>
        <v>0.00892857142857143</v>
      </c>
      <c r="H16" s="24" t="s">
        <v>107</v>
      </c>
    </row>
    <row r="17" customFormat="false" ht="15" hidden="false" customHeight="false" outlineLevel="0" collapsed="false">
      <c r="A17" s="8" t="s">
        <v>108</v>
      </c>
      <c r="B17" s="8"/>
      <c r="C17" s="8"/>
      <c r="D17" s="8"/>
      <c r="E17" s="9" t="n">
        <f aca="false">SUM(E18:E18)</f>
        <v>344.14</v>
      </c>
      <c r="F17" s="9" t="n">
        <f aca="false">E17*12</f>
        <v>4129.68</v>
      </c>
      <c r="G17" s="16" t="n">
        <f aca="false">E17/Summary!$B$4</f>
        <v>0.00491628571428571</v>
      </c>
      <c r="H17" s="8"/>
    </row>
    <row r="18" customFormat="false" ht="15" hidden="false" customHeight="false" outlineLevel="0" collapsed="false">
      <c r="A18" s="5" t="s">
        <v>109</v>
      </c>
      <c r="B18" s="5" t="s">
        <v>88</v>
      </c>
      <c r="C18" s="5" t="s">
        <v>94</v>
      </c>
      <c r="D18" s="5" t="s">
        <v>35</v>
      </c>
      <c r="E18" s="22" t="n">
        <v>344.14</v>
      </c>
      <c r="F18" s="6" t="n">
        <f aca="false">E18*12</f>
        <v>4129.68</v>
      </c>
      <c r="G18" s="23" t="n">
        <f aca="false">E18/Summary!$B$4</f>
        <v>0.00491628571428571</v>
      </c>
      <c r="H18" s="24" t="s">
        <v>110</v>
      </c>
    </row>
    <row r="19" customFormat="false" ht="15" hidden="false" customHeight="false" outlineLevel="0" collapsed="false">
      <c r="A19" s="8" t="s">
        <v>63</v>
      </c>
      <c r="B19" s="8"/>
      <c r="C19" s="8"/>
      <c r="D19" s="8"/>
      <c r="E19" s="9" t="n">
        <f aca="false">SUM(E20:E20)</f>
        <v>188.25</v>
      </c>
      <c r="F19" s="9" t="n">
        <f aca="false">E19*12</f>
        <v>2259</v>
      </c>
      <c r="G19" s="16" t="n">
        <f aca="false">E19/Summary!$B$4</f>
        <v>0.00268928571428571</v>
      </c>
      <c r="H19" s="8"/>
    </row>
    <row r="20" customFormat="false" ht="15" hidden="false" customHeight="false" outlineLevel="0" collapsed="false">
      <c r="A20" s="5" t="s">
        <v>111</v>
      </c>
      <c r="B20" s="5" t="s">
        <v>88</v>
      </c>
      <c r="C20" s="5" t="s">
        <v>94</v>
      </c>
      <c r="D20" s="5" t="s">
        <v>35</v>
      </c>
      <c r="E20" s="22" t="n">
        <v>188.25</v>
      </c>
      <c r="F20" s="6" t="n">
        <f aca="false">E20*12</f>
        <v>2259</v>
      </c>
      <c r="G20" s="23" t="n">
        <f aca="false">E20/Summary!$B$4</f>
        <v>0.00268928571428571</v>
      </c>
      <c r="H20" s="24" t="s">
        <v>112</v>
      </c>
    </row>
    <row r="21" customFormat="false" ht="15" hidden="false" customHeight="false" outlineLevel="0" collapsed="false">
      <c r="A21" s="8" t="s">
        <v>76</v>
      </c>
      <c r="B21" s="8"/>
      <c r="C21" s="8"/>
      <c r="D21" s="8"/>
      <c r="E21" s="9" t="n">
        <f aca="false">SUM(E22:E22)</f>
        <v>119.85</v>
      </c>
      <c r="F21" s="9" t="n">
        <f aca="false">E21*12</f>
        <v>1438.2</v>
      </c>
      <c r="G21" s="16" t="n">
        <f aca="false">E21/Summary!$B$4</f>
        <v>0.00171214285714286</v>
      </c>
      <c r="H21" s="8"/>
    </row>
    <row r="22" customFormat="false" ht="15" hidden="false" customHeight="false" outlineLevel="0" collapsed="false">
      <c r="A22" s="5" t="s">
        <v>113</v>
      </c>
      <c r="B22" s="5" t="s">
        <v>88</v>
      </c>
      <c r="C22" s="5" t="s">
        <v>94</v>
      </c>
      <c r="D22" s="5" t="s">
        <v>95</v>
      </c>
      <c r="E22" s="22" t="n">
        <v>119.85</v>
      </c>
      <c r="F22" s="6" t="n">
        <f aca="false">E22*12</f>
        <v>1438.2</v>
      </c>
      <c r="G22" s="23" t="n">
        <f aca="false">E22/Summary!$B$4</f>
        <v>0.00171214285714286</v>
      </c>
      <c r="H22" s="24" t="s">
        <v>112</v>
      </c>
    </row>
    <row r="23" customFormat="false" ht="15" hidden="false" customHeight="false" outlineLevel="0" collapsed="false">
      <c r="A23" s="11" t="s">
        <v>114</v>
      </c>
      <c r="B23" s="25"/>
      <c r="C23" s="25"/>
      <c r="D23" s="25"/>
      <c r="E23" s="12" t="n">
        <f aca="false">E5+E7+E9+E11+E13+E15+E17+E19+E21</f>
        <v>16861.18</v>
      </c>
      <c r="F23" s="12" t="n">
        <f aca="false">E23*12</f>
        <v>202334.16</v>
      </c>
      <c r="G23" s="26" t="n">
        <f aca="false">E23/Summary!$B$4</f>
        <v>0.240874</v>
      </c>
      <c r="H2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14" t="s">
        <v>23</v>
      </c>
      <c r="B4" s="14" t="s">
        <v>24</v>
      </c>
      <c r="C4" s="14" t="s">
        <v>25</v>
      </c>
      <c r="D4" s="14" t="s">
        <v>26</v>
      </c>
      <c r="E4" s="15" t="s">
        <v>27</v>
      </c>
      <c r="F4" s="15" t="s">
        <v>28</v>
      </c>
      <c r="G4" s="15" t="s">
        <v>29</v>
      </c>
      <c r="H4" s="15" t="s">
        <v>30</v>
      </c>
    </row>
    <row r="5" customFormat="false" ht="15" hidden="false" customHeight="false" outlineLevel="0" collapsed="false">
      <c r="A5" s="8" t="s">
        <v>116</v>
      </c>
      <c r="B5" s="8"/>
      <c r="C5" s="8"/>
      <c r="D5" s="8"/>
      <c r="E5" s="9" t="n">
        <f aca="false">SUM(E6:E8)</f>
        <v>14506.22</v>
      </c>
      <c r="F5" s="9" t="n">
        <f aca="false">E5*12</f>
        <v>174074.64</v>
      </c>
      <c r="G5" s="16" t="n">
        <f aca="false">E5/Summary!$B$4</f>
        <v>0.207231714285714</v>
      </c>
      <c r="H5" s="8"/>
    </row>
    <row r="6" customFormat="false" ht="15" hidden="false" customHeight="false" outlineLevel="0" collapsed="false">
      <c r="A6" s="5" t="s">
        <v>117</v>
      </c>
      <c r="B6" s="5" t="s">
        <v>33</v>
      </c>
      <c r="C6" s="5" t="s">
        <v>118</v>
      </c>
      <c r="D6" s="5" t="s">
        <v>35</v>
      </c>
      <c r="E6" s="22" t="n">
        <v>9000</v>
      </c>
      <c r="F6" s="6" t="n">
        <f aca="false">E6*12</f>
        <v>108000</v>
      </c>
      <c r="G6" s="23" t="n">
        <f aca="false">E6/Summary!$B$4</f>
        <v>0.128571428571429</v>
      </c>
      <c r="H6" s="24" t="s">
        <v>119</v>
      </c>
    </row>
    <row r="7" customFormat="false" ht="15" hidden="false" customHeight="false" outlineLevel="0" collapsed="false">
      <c r="A7" s="17" t="s">
        <v>120</v>
      </c>
      <c r="B7" s="17" t="s">
        <v>33</v>
      </c>
      <c r="C7" s="17" t="s">
        <v>47</v>
      </c>
      <c r="D7" s="17" t="s">
        <v>35</v>
      </c>
      <c r="E7" s="18" t="n">
        <v>3006.22</v>
      </c>
      <c r="F7" s="19" t="n">
        <f aca="false">E7*12</f>
        <v>36074.64</v>
      </c>
      <c r="G7" s="20" t="n">
        <f aca="false">E7/Summary!$B$4</f>
        <v>0.042946</v>
      </c>
      <c r="H7" s="21" t="s">
        <v>121</v>
      </c>
    </row>
    <row r="8" customFormat="false" ht="15" hidden="false" customHeight="false" outlineLevel="0" collapsed="false">
      <c r="A8" s="5" t="s">
        <v>122</v>
      </c>
      <c r="B8" s="5" t="s">
        <v>33</v>
      </c>
      <c r="C8" s="5" t="s">
        <v>123</v>
      </c>
      <c r="D8" s="5" t="s">
        <v>35</v>
      </c>
      <c r="E8" s="22" t="n">
        <v>2500</v>
      </c>
      <c r="F8" s="6" t="n">
        <f aca="false">E8*12</f>
        <v>30000</v>
      </c>
      <c r="G8" s="23" t="n">
        <f aca="false">E8/Summary!$B$4</f>
        <v>0.0357142857142857</v>
      </c>
      <c r="H8" s="24"/>
    </row>
    <row r="9" customFormat="false" ht="15" hidden="false" customHeight="false" outlineLevel="0" collapsed="false">
      <c r="A9" s="11" t="s">
        <v>124</v>
      </c>
      <c r="B9" s="25"/>
      <c r="C9" s="25"/>
      <c r="D9" s="25"/>
      <c r="E9" s="12" t="n">
        <f aca="false">E5</f>
        <v>14506.22</v>
      </c>
      <c r="F9" s="12" t="n">
        <f aca="false">E9*12</f>
        <v>174074.64</v>
      </c>
      <c r="G9" s="26" t="n">
        <f aca="false">E9/Summary!$B$4</f>
        <v>0.207231714285714</v>
      </c>
      <c r="H9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2026-09-26T04:40:46Z</dcterms:created>
  <dc:creator>openpyxl</dc:creator>
  <dc:description/>
  <dc:language>en-US</dc:language>
  <cp:lastModifiedBy/>
  <dcterms:modified xsi:type="dcterms:W3CDTF">2026-09-26T04:40:46Z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